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ment_Memo" sheetId="1" r:id="rId5"/>
  </sheets>
  <definedNames/>
  <calcPr/>
</workbook>
</file>

<file path=xl/sharedStrings.xml><?xml version="1.0" encoding="utf-8"?>
<sst xmlns="http://schemas.openxmlformats.org/spreadsheetml/2006/main" count="67" uniqueCount="63">
  <si>
    <t>American Housing Corp — Summary Financial Model</t>
  </si>
  <si>
    <t>Date:</t>
  </si>
  <si>
    <t>May 2026</t>
  </si>
  <si>
    <t>Thesis:</t>
  </si>
  <si>
    <t>Vertically-integrated modular housing platform with factory-scale margins at $285m post money valuation.</t>
  </si>
  <si>
    <t>Block 1 — Production &amp; Valuation</t>
  </si>
  <si>
    <t>Entity</t>
  </si>
  <si>
    <t>Size (sqft)</t>
  </si>
  <si>
    <t>Townhomes</t>
  </si>
  <si>
    <t>Margin/ft</t>
  </si>
  <si>
    <t>Ft/unit</t>
  </si>
  <si>
    <t>Margin/unit</t>
  </si>
  <si>
    <t>Gross Profit</t>
  </si>
  <si>
    <t>EBITDA (80%)</t>
  </si>
  <si>
    <t>Valuation (15x)</t>
  </si>
  <si>
    <t>Post-Money</t>
  </si>
  <si>
    <t>Multiple on $</t>
  </si>
  <si>
    <t>Scenario Weight</t>
  </si>
  <si>
    <t>Weighted Multiple</t>
  </si>
  <si>
    <t>Factory 1</t>
  </si>
  <si>
    <t>Factory 2</t>
  </si>
  <si>
    <t>Total</t>
  </si>
  <si>
    <t>Block 2 — Fund Return Scenarios</t>
  </si>
  <si>
    <t>Scenario</t>
  </si>
  <si>
    <t>Position Size ($M)</t>
  </si>
  <si>
    <t>Return ($M)</t>
  </si>
  <si>
    <t>Cost Basis ($M)</t>
  </si>
  <si>
    <t>ROI</t>
  </si>
  <si>
    <t>$5M new check this round</t>
  </si>
  <si>
    <t>$17M existing position (current mark)</t>
  </si>
  <si>
    <t xml:space="preserve">    ↳ $500k @ $15M post-money (Mar 2025)</t>
  </si>
  <si>
    <t xml:space="preserve">    ↳ $2M @ $50M post-money (Dec 2025)</t>
  </si>
  <si>
    <t>Combined Total</t>
  </si>
  <si>
    <t>Block 3 — Capital Raising History</t>
  </si>
  <si>
    <t>Date</t>
  </si>
  <si>
    <t>Raise</t>
  </si>
  <si>
    <t>Lead / Participants</t>
  </si>
  <si>
    <t>$15M</t>
  </si>
  <si>
    <t>$2M</t>
  </si>
  <si>
    <t>Antler, Flux Capital</t>
  </si>
  <si>
    <t>$50M</t>
  </si>
  <si>
    <t>$7M</t>
  </si>
  <si>
    <t>Contrary, Flux Capital</t>
  </si>
  <si>
    <t>Now (Contrary lead)</t>
  </si>
  <si>
    <t>$285M</t>
  </si>
  <si>
    <t>Contrary (lead), Antler, Flux Capital</t>
  </si>
  <si>
    <t>Block 4 — Per-City Unit Economics (reference)</t>
  </si>
  <si>
    <t>City</t>
  </si>
  <si>
    <t>Cost/ft</t>
  </si>
  <si>
    <t>Local Hard Cost</t>
  </si>
  <si>
    <t>Discount</t>
  </si>
  <si>
    <t>Developer Cost</t>
  </si>
  <si>
    <t>AHC Margin/ft</t>
  </si>
  <si>
    <t>Unit sqft</t>
  </si>
  <si>
    <t>Profit/unit</t>
  </si>
  <si>
    <t>Units</t>
  </si>
  <si>
    <t>Project Gross Profit</t>
  </si>
  <si>
    <t>Austin</t>
  </si>
  <si>
    <t>Miami</t>
  </si>
  <si>
    <t>LA</t>
  </si>
  <si>
    <t>Aspen</t>
  </si>
  <si>
    <t>Bozeman</t>
  </si>
  <si>
    <t>Note: Bozeman is in the active pipeline (40 units).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</si>
</sst>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[$$-409]* #,##0_);_([$$-409]* (#,##0);_([$$-409]* &quot;-&quot;??_);_(@_)"/>
    <numFmt numFmtId="165" formatCode="#,##0.00&quot;x&quot;"/>
    <numFmt numFmtId="166" formatCode="&quot;$&quot;#,##0&quot;M&quot;"/>
    <numFmt numFmtId="167" formatCode="&quot;$&quot;#,##0.0&quot;M&quot;"/>
    <numFmt numFmtId="168" formatCode="#,##0&quot;x&quot;"/>
    <numFmt numFmtId="169" formatCode="M/d/yyyy"/>
    <numFmt numFmtId="170" formatCode="_([$$-409]* #,##0.00_);_([$$-409]* (#,##0.00);_([$$-409]* &quot;-&quot;??_);_(@_)"/>
  </numFmts>
  <fonts count="13">
    <font>
      <sz val="10.0"/>
      <color rgb="FF000000"/>
      <name val="Arial"/>
      <scheme val="minor"/>
    </font>
    <font>
      <b/>
      <sz val="18.0"/>
      <color rgb="FF1F3864"/>
      <name val="Arial"/>
    </font>
    <font>
      <b/>
      <sz val="18.0"/>
      <color rgb="FF1F3864"/>
      <name val="Aptos Narrow"/>
    </font>
    <font>
      <b/>
      <sz val="11.0"/>
      <color theme="1"/>
      <name val="Aptos Narrow"/>
    </font>
    <font>
      <color theme="1"/>
      <name val="Arial"/>
      <scheme val="minor"/>
    </font>
    <font>
      <color theme="1"/>
      <name val="Calibri"/>
    </font>
    <font>
      <b/>
      <sz val="12.0"/>
      <color rgb="FFFFFFFF"/>
      <name val="Aptos Narrow"/>
    </font>
    <font>
      <color rgb="FF008000"/>
      <name val="Calibri"/>
    </font>
    <font>
      <color rgb="FF000000"/>
      <name val="Calibri"/>
    </font>
    <font>
      <b/>
      <sz val="11.0"/>
      <color rgb="FF000000"/>
      <name val="Aptos Narrow"/>
    </font>
    <font>
      <i/>
      <sz val="10.0"/>
      <color rgb="FF595959"/>
      <name val="Aptos Narrow"/>
    </font>
    <font/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1">
    <border/>
    <border>
      <left/>
      <right/>
      <top/>
      <bottom/>
    </border>
    <border>
      <left style="thin">
        <color rgb="FFBFBFBF"/>
      </left>
      <right style="thin">
        <color rgb="FFBFBFBF"/>
      </right>
      <bottom style="medium">
        <color rgb="FF1F3864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bottom style="medium">
        <color rgb="FF1F3864"/>
      </bottom>
    </border>
    <border>
      <left style="thin">
        <color rgb="FFBFBFBF"/>
      </left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bottom style="medium">
        <color rgb="FF1F3864"/>
      </bottom>
    </border>
    <border>
      <right style="thin">
        <color rgb="FFBFBFBF"/>
      </right>
      <bottom style="medium">
        <color rgb="FF1F3864"/>
      </bottom>
    </border>
    <border>
      <right style="thin">
        <color rgb="FFBFBFBF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vertical="top"/>
    </xf>
    <xf borderId="2" fillId="3" fontId="3" numFmtId="0" xfId="0" applyAlignment="1" applyBorder="1" applyFill="1" applyFont="1">
      <alignment horizontal="center" vertical="top"/>
    </xf>
    <xf borderId="3" fillId="0" fontId="3" numFmtId="0" xfId="0" applyAlignment="1" applyBorder="1" applyFont="1">
      <alignment vertical="top"/>
    </xf>
    <xf borderId="3" fillId="0" fontId="7" numFmtId="3" xfId="0" applyAlignment="1" applyBorder="1" applyFont="1" applyNumberFormat="1">
      <alignment vertical="top"/>
    </xf>
    <xf borderId="3" fillId="0" fontId="7" numFmtId="164" xfId="0" applyAlignment="1" applyBorder="1" applyFont="1" applyNumberFormat="1">
      <alignment vertical="top"/>
    </xf>
    <xf borderId="3" fillId="0" fontId="8" numFmtId="164" xfId="0" applyAlignment="1" applyBorder="1" applyFont="1" applyNumberFormat="1">
      <alignment vertical="top"/>
    </xf>
    <xf borderId="3" fillId="0" fontId="8" numFmtId="165" xfId="0" applyAlignment="1" applyBorder="1" applyFont="1" applyNumberFormat="1">
      <alignment vertical="top"/>
    </xf>
    <xf borderId="3" fillId="0" fontId="5" numFmtId="9" xfId="0" applyAlignment="1" applyBorder="1" applyFont="1" applyNumberFormat="1">
      <alignment horizontal="center" vertical="top"/>
    </xf>
    <xf borderId="4" fillId="4" fontId="3" numFmtId="0" xfId="0" applyAlignment="1" applyBorder="1" applyFill="1" applyFont="1">
      <alignment vertical="top"/>
    </xf>
    <xf borderId="4" fillId="4" fontId="9" numFmtId="3" xfId="0" applyAlignment="1" applyBorder="1" applyFont="1" applyNumberFormat="1">
      <alignment vertical="top"/>
    </xf>
    <xf borderId="4" fillId="4" fontId="9" numFmtId="164" xfId="0" applyAlignment="1" applyBorder="1" applyFont="1" applyNumberFormat="1">
      <alignment vertical="top"/>
    </xf>
    <xf borderId="4" fillId="4" fontId="9" numFmtId="165" xfId="0" applyAlignment="1" applyBorder="1" applyFont="1" applyNumberFormat="1">
      <alignment vertical="top"/>
    </xf>
    <xf borderId="5" fillId="3" fontId="3" numFmtId="0" xfId="0" applyAlignment="1" applyBorder="1" applyFont="1">
      <alignment horizontal="center" vertical="top"/>
    </xf>
    <xf borderId="3" fillId="0" fontId="5" numFmtId="166" xfId="0" applyAlignment="1" applyBorder="1" applyFont="1" applyNumberFormat="1">
      <alignment vertical="top"/>
    </xf>
    <xf borderId="3" fillId="0" fontId="8" numFmtId="166" xfId="0" applyAlignment="1" applyBorder="1" applyFont="1" applyNumberFormat="1">
      <alignment horizontal="right" vertical="top"/>
    </xf>
    <xf borderId="3" fillId="0" fontId="8" numFmtId="165" xfId="0" applyAlignment="1" applyBorder="1" applyFont="1" applyNumberFormat="1">
      <alignment horizontal="right" vertical="top"/>
    </xf>
    <xf borderId="3" fillId="0" fontId="8" numFmtId="166" xfId="0" applyAlignment="1" applyBorder="1" applyFont="1" applyNumberFormat="1">
      <alignment vertical="top"/>
    </xf>
    <xf borderId="0" fillId="0" fontId="5" numFmtId="167" xfId="0" applyAlignment="1" applyFont="1" applyNumberFormat="1">
      <alignment vertical="top"/>
    </xf>
    <xf borderId="0" fillId="0" fontId="8" numFmtId="168" xfId="0" applyAlignment="1" applyFont="1" applyNumberFormat="1">
      <alignment vertical="top"/>
    </xf>
    <xf borderId="6" fillId="0" fontId="3" numFmtId="0" xfId="0" applyAlignment="1" applyBorder="1" applyFont="1">
      <alignment vertical="top"/>
    </xf>
    <xf borderId="6" fillId="0" fontId="5" numFmtId="166" xfId="0" applyAlignment="1" applyBorder="1" applyFont="1" applyNumberFormat="1">
      <alignment vertical="top"/>
    </xf>
    <xf borderId="6" fillId="0" fontId="8" numFmtId="166" xfId="0" applyAlignment="1" applyBorder="1" applyFont="1" applyNumberFormat="1">
      <alignment horizontal="right" vertical="top"/>
    </xf>
    <xf borderId="6" fillId="0" fontId="8" numFmtId="165" xfId="0" applyAlignment="1" applyBorder="1" applyFont="1" applyNumberFormat="1">
      <alignment horizontal="right" vertical="top"/>
    </xf>
    <xf borderId="6" fillId="0" fontId="8" numFmtId="166" xfId="0" applyAlignment="1" applyBorder="1" applyFont="1" applyNumberFormat="1">
      <alignment vertical="top"/>
    </xf>
    <xf borderId="0" fillId="0" fontId="10" numFmtId="0" xfId="0" applyAlignment="1" applyFont="1">
      <alignment vertical="top"/>
    </xf>
    <xf borderId="0" fillId="0" fontId="10" numFmtId="167" xfId="0" applyAlignment="1" applyFont="1" applyNumberFormat="1">
      <alignment horizontal="right" vertical="top"/>
    </xf>
    <xf borderId="4" fillId="4" fontId="9" numFmtId="166" xfId="0" applyAlignment="1" applyBorder="1" applyFont="1" applyNumberFormat="1">
      <alignment vertical="top"/>
    </xf>
    <xf borderId="7" fillId="4" fontId="9" numFmtId="167" xfId="0" applyAlignment="1" applyBorder="1" applyFont="1" applyNumberFormat="1">
      <alignment vertical="top"/>
    </xf>
    <xf borderId="7" fillId="4" fontId="9" numFmtId="168" xfId="0" applyAlignment="1" applyBorder="1" applyFont="1" applyNumberFormat="1">
      <alignment vertical="top"/>
    </xf>
    <xf borderId="8" fillId="3" fontId="3" numFmtId="0" xfId="0" applyAlignment="1" applyBorder="1" applyFont="1">
      <alignment horizontal="center" vertical="top"/>
    </xf>
    <xf borderId="9" fillId="0" fontId="11" numFmtId="0" xfId="0" applyBorder="1" applyFont="1"/>
    <xf borderId="3" fillId="0" fontId="5" numFmtId="169" xfId="0" applyAlignment="1" applyBorder="1" applyFont="1" applyNumberFormat="1">
      <alignment vertical="top"/>
    </xf>
    <xf borderId="3" fillId="0" fontId="7" numFmtId="0" xfId="0" applyAlignment="1" applyBorder="1" applyFont="1">
      <alignment vertical="top"/>
    </xf>
    <xf borderId="6" fillId="0" fontId="5" numFmtId="0" xfId="0" applyAlignment="1" applyBorder="1" applyFont="1">
      <alignment horizontal="left" vertical="top"/>
    </xf>
    <xf borderId="10" fillId="0" fontId="11" numFmtId="0" xfId="0" applyBorder="1" applyFont="1"/>
    <xf borderId="3" fillId="0" fontId="5" numFmtId="0" xfId="0" applyAlignment="1" applyBorder="1" applyFont="1">
      <alignment vertical="top"/>
    </xf>
    <xf borderId="2" fillId="3" fontId="12" numFmtId="0" xfId="0" applyAlignment="1" applyBorder="1" applyFont="1">
      <alignment horizontal="center" readingOrder="0" vertical="top"/>
    </xf>
    <xf borderId="3" fillId="0" fontId="7" numFmtId="170" xfId="0" applyAlignment="1" applyBorder="1" applyFont="1" applyNumberFormat="1">
      <alignment vertical="top"/>
    </xf>
    <xf borderId="3" fillId="0" fontId="7" numFmtId="9" xfId="0" applyAlignment="1" applyBorder="1" applyFont="1" applyNumberFormat="1">
      <alignment horizontal="center" vertical="top"/>
    </xf>
    <xf borderId="3" fillId="0" fontId="8" numFmtId="170" xfId="0" applyAlignment="1" applyBorder="1" applyFont="1" applyNumberFormat="1">
      <alignment vertical="top"/>
    </xf>
    <xf borderId="3" fillId="0" fontId="5" numFmtId="3" xfId="0" applyAlignment="1" applyBorder="1" applyFont="1" applyNumberFormat="1">
      <alignment horizontal="center" vertical="top"/>
    </xf>
    <xf borderId="3" fillId="0" fontId="5" numFmtId="170" xfId="0" applyAlignment="1" applyBorder="1" applyFont="1" applyNumberFormat="1">
      <alignment vertical="top"/>
    </xf>
    <xf borderId="3" fillId="5" fontId="3" numFmtId="0" xfId="0" applyAlignment="1" applyBorder="1" applyFill="1" applyFont="1">
      <alignment vertical="top"/>
    </xf>
    <xf borderId="3" fillId="5" fontId="7" numFmtId="170" xfId="0" applyAlignment="1" applyBorder="1" applyFont="1" applyNumberFormat="1">
      <alignment vertical="top"/>
    </xf>
    <xf borderId="3" fillId="5" fontId="7" numFmtId="9" xfId="0" applyAlignment="1" applyBorder="1" applyFont="1" applyNumberFormat="1">
      <alignment horizontal="center" vertical="top"/>
    </xf>
    <xf borderId="3" fillId="5" fontId="8" numFmtId="170" xfId="0" applyAlignment="1" applyBorder="1" applyFont="1" applyNumberFormat="1">
      <alignment vertical="top"/>
    </xf>
    <xf borderId="3" fillId="5" fontId="7" numFmtId="3" xfId="0" applyAlignment="1" applyBorder="1" applyFont="1" applyNumberFormat="1">
      <alignment vertical="top"/>
    </xf>
    <xf borderId="3" fillId="5" fontId="8" numFmtId="164" xfId="0" applyAlignment="1" applyBorder="1" applyFont="1" applyNumberFormat="1">
      <alignment vertical="top"/>
    </xf>
    <xf borderId="3" fillId="5" fontId="7" numFmtId="3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88"/>
    <col customWidth="1" min="2" max="2" width="36.75"/>
    <col customWidth="1" min="3" max="3" width="16.38"/>
    <col customWidth="1" min="4" max="4" width="16.63"/>
    <col customWidth="1" min="5" max="5" width="20.25"/>
    <col customWidth="1" min="6" max="6" width="16.0"/>
    <col customWidth="1" min="7" max="7" width="16.38"/>
    <col customWidth="1" min="8" max="9" width="20.75"/>
    <col customWidth="1" min="10" max="10" width="25.75"/>
    <col customWidth="1" min="11" max="11" width="18.25"/>
    <col customWidth="1" min="12" max="12" width="18.63"/>
    <col customWidth="1" min="13" max="13" width="16.75"/>
    <col customWidth="1" min="14" max="14" width="18.63"/>
    <col customWidth="1" min="15" max="26" width="8.88"/>
  </cols>
  <sheetData>
    <row r="2" ht="24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customHeight="1">
      <c r="B3" s="3" t="s">
        <v>1</v>
      </c>
      <c r="C3" s="4" t="s">
        <v>2</v>
      </c>
    </row>
    <row r="4" ht="29.25" customHeight="1">
      <c r="B4" s="3" t="s">
        <v>3</v>
      </c>
      <c r="C4" s="5" t="s">
        <v>4</v>
      </c>
      <c r="F4" s="6"/>
      <c r="G4" s="6"/>
      <c r="H4" s="6"/>
      <c r="I4" s="6"/>
      <c r="J4" s="6"/>
      <c r="K4" s="6"/>
      <c r="L4" s="6"/>
      <c r="M4" s="6"/>
      <c r="N4" s="6"/>
    </row>
    <row r="5" ht="1.5" customHeight="1"/>
    <row r="6" ht="17.25" customHeight="1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5.75" customHeight="1"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</row>
    <row r="8" ht="15.75" customHeight="1">
      <c r="B8" s="9" t="s">
        <v>19</v>
      </c>
      <c r="C8" s="10">
        <v>250000.0</v>
      </c>
      <c r="D8" s="10">
        <v>1750.0</v>
      </c>
      <c r="E8" s="11">
        <v>250.0</v>
      </c>
      <c r="F8" s="10">
        <v>1800.0</v>
      </c>
      <c r="G8" s="12">
        <f t="shared" ref="G8:G9" si="1">E8*F8</f>
        <v>450000</v>
      </c>
      <c r="H8" s="12">
        <f t="shared" ref="H8:H9" si="2">G8*D8</f>
        <v>787500000</v>
      </c>
      <c r="I8" s="12">
        <f t="shared" ref="I8:I9" si="3">H8*0.8</f>
        <v>630000000</v>
      </c>
      <c r="J8" s="12">
        <f t="shared" ref="J8:J10" si="4">I8*15</f>
        <v>9450000000</v>
      </c>
      <c r="K8" s="11">
        <v>2.85E8</v>
      </c>
      <c r="L8" s="13">
        <f t="shared" ref="L8:L10" si="5">J8/K8</f>
        <v>33.15789474</v>
      </c>
      <c r="M8" s="14">
        <v>0.95</v>
      </c>
      <c r="N8" s="13">
        <f t="shared" ref="N8:N9" si="6">M8*L8</f>
        <v>31.5</v>
      </c>
    </row>
    <row r="9" ht="15.75" customHeight="1">
      <c r="B9" s="9" t="s">
        <v>20</v>
      </c>
      <c r="C9" s="10">
        <v>1000000.0</v>
      </c>
      <c r="D9" s="10">
        <f>D8*10</f>
        <v>17500</v>
      </c>
      <c r="E9" s="11">
        <v>280.0</v>
      </c>
      <c r="F9" s="10">
        <v>1800.0</v>
      </c>
      <c r="G9" s="12">
        <f t="shared" si="1"/>
        <v>504000</v>
      </c>
      <c r="H9" s="12">
        <f t="shared" si="2"/>
        <v>8820000000</v>
      </c>
      <c r="I9" s="12">
        <f t="shared" si="3"/>
        <v>7056000000</v>
      </c>
      <c r="J9" s="12">
        <f t="shared" si="4"/>
        <v>105840000000</v>
      </c>
      <c r="K9" s="11">
        <v>2.85E8</v>
      </c>
      <c r="L9" s="13">
        <f t="shared" si="5"/>
        <v>371.3684211</v>
      </c>
      <c r="M9" s="14">
        <v>0.05</v>
      </c>
      <c r="N9" s="13">
        <f t="shared" si="6"/>
        <v>18.56842105</v>
      </c>
    </row>
    <row r="10" ht="15.75" customHeight="1">
      <c r="B10" s="15" t="s">
        <v>21</v>
      </c>
      <c r="C10" s="16">
        <f t="shared" ref="C10:D10" si="7">SUM(C8:C9)</f>
        <v>1250000</v>
      </c>
      <c r="D10" s="16">
        <f t="shared" si="7"/>
        <v>19250</v>
      </c>
      <c r="E10" s="15"/>
      <c r="F10" s="15"/>
      <c r="G10" s="15"/>
      <c r="H10" s="17">
        <f t="shared" ref="H10:I10" si="8">SUM(H8:H9)</f>
        <v>9607500000</v>
      </c>
      <c r="I10" s="17">
        <f t="shared" si="8"/>
        <v>7686000000</v>
      </c>
      <c r="J10" s="17">
        <f t="shared" si="4"/>
        <v>115290000000</v>
      </c>
      <c r="K10" s="17">
        <f>K8</f>
        <v>285000000</v>
      </c>
      <c r="L10" s="18">
        <f t="shared" si="5"/>
        <v>404.5263158</v>
      </c>
      <c r="M10" s="15"/>
      <c r="N10" s="18">
        <f>SUM(N8:N9)</f>
        <v>50.06842105</v>
      </c>
    </row>
    <row r="12" ht="17.25" customHeight="1">
      <c r="B12" s="7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15.75" customHeight="1">
      <c r="B13" s="8" t="s">
        <v>23</v>
      </c>
      <c r="C13" s="8" t="s">
        <v>24</v>
      </c>
      <c r="D13" s="8" t="s">
        <v>15</v>
      </c>
      <c r="E13" s="8" t="s">
        <v>18</v>
      </c>
      <c r="F13" s="8" t="s">
        <v>25</v>
      </c>
      <c r="G13" s="19" t="s">
        <v>26</v>
      </c>
      <c r="H13" s="19" t="s">
        <v>27</v>
      </c>
    </row>
    <row r="14" ht="15.75" customHeight="1">
      <c r="B14" s="9" t="s">
        <v>28</v>
      </c>
      <c r="C14" s="20">
        <v>5.0</v>
      </c>
      <c r="D14" s="21">
        <f>K8/1000000</f>
        <v>285</v>
      </c>
      <c r="E14" s="22">
        <f>N10</f>
        <v>50.06842105</v>
      </c>
      <c r="F14" s="23">
        <f t="shared" ref="F14:F15" si="9">C14*E14</f>
        <v>250.3421053</v>
      </c>
      <c r="G14" s="24">
        <v>5.0</v>
      </c>
      <c r="H14" s="25">
        <f t="shared" ref="H14:H15" si="10">F14/G14</f>
        <v>50.06842105</v>
      </c>
    </row>
    <row r="15" ht="15.75" customHeight="1">
      <c r="B15" s="26" t="s">
        <v>29</v>
      </c>
      <c r="C15" s="27">
        <v>17.0</v>
      </c>
      <c r="D15" s="28">
        <f>K8/1000000</f>
        <v>285</v>
      </c>
      <c r="E15" s="29">
        <f>N10</f>
        <v>50.06842105</v>
      </c>
      <c r="F15" s="30">
        <f t="shared" si="9"/>
        <v>851.1631579</v>
      </c>
      <c r="G15" s="24">
        <f>G16+G17</f>
        <v>2.5</v>
      </c>
      <c r="H15" s="25">
        <f t="shared" si="10"/>
        <v>340.4652632</v>
      </c>
    </row>
    <row r="16" ht="15.0" customHeight="1">
      <c r="B16" s="31" t="s">
        <v>30</v>
      </c>
      <c r="C16" s="31"/>
      <c r="D16" s="31"/>
      <c r="E16" s="31"/>
      <c r="F16" s="31"/>
      <c r="G16" s="32">
        <v>0.5</v>
      </c>
      <c r="H16" s="31"/>
    </row>
    <row r="17" ht="15.0" customHeight="1">
      <c r="B17" s="31" t="s">
        <v>31</v>
      </c>
      <c r="C17" s="31"/>
      <c r="D17" s="31"/>
      <c r="E17" s="31"/>
      <c r="F17" s="31"/>
      <c r="G17" s="32">
        <v>2.0</v>
      </c>
      <c r="H17" s="31"/>
    </row>
    <row r="18" ht="15.75" customHeight="1">
      <c r="B18" s="15" t="s">
        <v>32</v>
      </c>
      <c r="C18" s="33">
        <f>SUM(C14:C15)</f>
        <v>22</v>
      </c>
      <c r="D18" s="15"/>
      <c r="E18" s="15"/>
      <c r="F18" s="33">
        <f t="shared" ref="F18:G18" si="11">SUM(F14:F15)</f>
        <v>1101.505263</v>
      </c>
      <c r="G18" s="34">
        <f t="shared" si="11"/>
        <v>7.5</v>
      </c>
      <c r="H18" s="35">
        <f>F18/G18</f>
        <v>146.8673684</v>
      </c>
    </row>
    <row r="20" ht="17.25" customHeight="1">
      <c r="B20" s="7" t="s">
        <v>33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ht="15.75" customHeight="1">
      <c r="B21" s="8" t="s">
        <v>34</v>
      </c>
      <c r="C21" s="8" t="s">
        <v>15</v>
      </c>
      <c r="D21" s="8" t="s">
        <v>35</v>
      </c>
      <c r="E21" s="36" t="s">
        <v>36</v>
      </c>
      <c r="F21" s="37"/>
    </row>
    <row r="22" ht="15.75" customHeight="1">
      <c r="B22" s="38">
        <v>45717.0</v>
      </c>
      <c r="C22" s="39" t="s">
        <v>37</v>
      </c>
      <c r="D22" s="39" t="s">
        <v>38</v>
      </c>
      <c r="E22" s="40" t="s">
        <v>39</v>
      </c>
      <c r="F22" s="41"/>
    </row>
    <row r="23" ht="15.75" customHeight="1">
      <c r="B23" s="38">
        <v>45992.0</v>
      </c>
      <c r="C23" s="39" t="s">
        <v>40</v>
      </c>
      <c r="D23" s="39" t="s">
        <v>41</v>
      </c>
      <c r="E23" s="40" t="s">
        <v>42</v>
      </c>
      <c r="F23" s="41"/>
    </row>
    <row r="24" ht="15.75" customHeight="1">
      <c r="B24" s="42" t="s">
        <v>43</v>
      </c>
      <c r="C24" s="39" t="s">
        <v>44</v>
      </c>
      <c r="D24" s="39" t="s">
        <v>40</v>
      </c>
      <c r="E24" s="40" t="s">
        <v>45</v>
      </c>
      <c r="F24" s="41"/>
    </row>
    <row r="25" ht="15.75" customHeight="1"/>
    <row r="26" ht="17.25" customHeight="1">
      <c r="B26" s="7" t="s">
        <v>46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ht="15.75" customHeight="1">
      <c r="B27" s="8" t="s">
        <v>47</v>
      </c>
      <c r="C27" s="8" t="s">
        <v>48</v>
      </c>
      <c r="D27" s="8" t="s">
        <v>49</v>
      </c>
      <c r="E27" s="8" t="s">
        <v>50</v>
      </c>
      <c r="F27" s="8" t="s">
        <v>51</v>
      </c>
      <c r="G27" s="8" t="s">
        <v>52</v>
      </c>
      <c r="H27" s="8" t="s">
        <v>53</v>
      </c>
      <c r="I27" s="8" t="s">
        <v>54</v>
      </c>
      <c r="J27" s="8" t="s">
        <v>55</v>
      </c>
      <c r="K27" s="43" t="s">
        <v>56</v>
      </c>
    </row>
    <row r="28" ht="15.75" customHeight="1">
      <c r="B28" s="9" t="s">
        <v>57</v>
      </c>
      <c r="C28" s="44">
        <v>180.0</v>
      </c>
      <c r="D28" s="44">
        <v>400.0</v>
      </c>
      <c r="E28" s="45">
        <v>0.1</v>
      </c>
      <c r="F28" s="46">
        <f t="shared" ref="F28:F32" si="12">(1-E28)*D28</f>
        <v>360</v>
      </c>
      <c r="G28" s="46">
        <f t="shared" ref="G28:G32" si="13">F28-C28</f>
        <v>180</v>
      </c>
      <c r="H28" s="10">
        <v>1800.0</v>
      </c>
      <c r="I28" s="12">
        <f t="shared" ref="I28:I32" si="14">G28*H28</f>
        <v>324000</v>
      </c>
      <c r="J28" s="47"/>
      <c r="K28" s="48"/>
    </row>
    <row r="29" ht="15.75" customHeight="1">
      <c r="B29" s="9" t="s">
        <v>58</v>
      </c>
      <c r="C29" s="44">
        <v>180.0</v>
      </c>
      <c r="D29" s="44">
        <v>550.0</v>
      </c>
      <c r="E29" s="45">
        <v>0.1</v>
      </c>
      <c r="F29" s="46">
        <f t="shared" si="12"/>
        <v>495</v>
      </c>
      <c r="G29" s="46">
        <f t="shared" si="13"/>
        <v>315</v>
      </c>
      <c r="H29" s="10">
        <v>1800.0</v>
      </c>
      <c r="I29" s="12">
        <f t="shared" si="14"/>
        <v>567000</v>
      </c>
      <c r="J29" s="47"/>
      <c r="K29" s="48"/>
    </row>
    <row r="30" ht="15.75" customHeight="1">
      <c r="B30" s="9" t="s">
        <v>59</v>
      </c>
      <c r="C30" s="44">
        <v>180.0</v>
      </c>
      <c r="D30" s="44">
        <v>500.0</v>
      </c>
      <c r="E30" s="45">
        <v>0.1</v>
      </c>
      <c r="F30" s="46">
        <f t="shared" si="12"/>
        <v>450</v>
      </c>
      <c r="G30" s="46">
        <f t="shared" si="13"/>
        <v>270</v>
      </c>
      <c r="H30" s="10">
        <v>1800.0</v>
      </c>
      <c r="I30" s="12">
        <f t="shared" si="14"/>
        <v>486000</v>
      </c>
      <c r="J30" s="47"/>
      <c r="K30" s="48"/>
    </row>
    <row r="31" ht="15.75" customHeight="1">
      <c r="B31" s="9" t="s">
        <v>60</v>
      </c>
      <c r="C31" s="44">
        <v>180.0</v>
      </c>
      <c r="D31" s="44">
        <v>1200.0</v>
      </c>
      <c r="E31" s="45">
        <v>0.1</v>
      </c>
      <c r="F31" s="46">
        <f t="shared" si="12"/>
        <v>1080</v>
      </c>
      <c r="G31" s="46">
        <f t="shared" si="13"/>
        <v>900</v>
      </c>
      <c r="H31" s="10">
        <v>1800.0</v>
      </c>
      <c r="I31" s="12">
        <f t="shared" si="14"/>
        <v>1620000</v>
      </c>
      <c r="J31" s="47"/>
      <c r="K31" s="48"/>
    </row>
    <row r="32" ht="15.75" customHeight="1">
      <c r="B32" s="49" t="s">
        <v>61</v>
      </c>
      <c r="C32" s="50">
        <v>180.0</v>
      </c>
      <c r="D32" s="50">
        <v>890.0</v>
      </c>
      <c r="E32" s="51">
        <v>0.1</v>
      </c>
      <c r="F32" s="52">
        <f t="shared" si="12"/>
        <v>801</v>
      </c>
      <c r="G32" s="52">
        <f t="shared" si="13"/>
        <v>621</v>
      </c>
      <c r="H32" s="53">
        <v>1800.0</v>
      </c>
      <c r="I32" s="54">
        <f t="shared" si="14"/>
        <v>1117800</v>
      </c>
      <c r="J32" s="55">
        <v>40.0</v>
      </c>
      <c r="K32" s="54">
        <f>I32*J32</f>
        <v>44712000</v>
      </c>
    </row>
    <row r="33" ht="15.0" customHeight="1">
      <c r="B33" s="31" t="s">
        <v>62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4:E4"/>
    <mergeCell ref="E21:F21"/>
    <mergeCell ref="E22:F22"/>
    <mergeCell ref="E23:F23"/>
    <mergeCell ref="E24:F24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