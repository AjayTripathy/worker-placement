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k" sheetId="1" r:id="rId5"/>
  </sheets>
  <definedNames/>
  <calcPr/>
</workbook>
</file>

<file path=xl/sharedStrings.xml><?xml version="1.0" encoding="utf-8"?>
<sst xmlns="http://schemas.openxmlformats.org/spreadsheetml/2006/main" count="127" uniqueCount="83">
  <si>
    <t>Address</t>
  </si>
  <si>
    <t>City</t>
  </si>
  <si>
    <t>Zip Code</t>
  </si>
  <si>
    <t>State</t>
  </si>
  <si>
    <t>Status</t>
  </si>
  <si>
    <t>Acquisition Date</t>
  </si>
  <si>
    <t>Purchase Price</t>
  </si>
  <si>
    <t>Rehab Cost</t>
  </si>
  <si>
    <t>Purchase Closing Cost $</t>
  </si>
  <si>
    <t>Total Cost</t>
  </si>
  <si>
    <t>Actual ARV</t>
  </si>
  <si>
    <t>Monthly Rent</t>
  </si>
  <si>
    <t>Annual Rent</t>
  </si>
  <si>
    <t>Y1 NOI</t>
  </si>
  <si>
    <t>Y1 Cashflow</t>
  </si>
  <si>
    <t>Y1 Cash On Cash</t>
  </si>
  <si>
    <t>Refi LTV</t>
  </si>
  <si>
    <t>Loan Refi Amount</t>
  </si>
  <si>
    <t>Refi Closing Costs</t>
  </si>
  <si>
    <t>Refi Closing Costs $</t>
  </si>
  <si>
    <t>Cash In Property</t>
  </si>
  <si>
    <t>2242 Castle Hill Dr</t>
  </si>
  <si>
    <t xml:space="preserve">Jackson </t>
  </si>
  <si>
    <t xml:space="preserve">MS </t>
  </si>
  <si>
    <t>In Acquisition</t>
  </si>
  <si>
    <t>2711 Thayer St</t>
  </si>
  <si>
    <t>Schrevport</t>
  </si>
  <si>
    <t>LA</t>
  </si>
  <si>
    <t>722 Eureka St</t>
  </si>
  <si>
    <t>Pittsburgh</t>
  </si>
  <si>
    <t>PA</t>
  </si>
  <si>
    <t>In Rehab</t>
  </si>
  <si>
    <t>809 Lamont St</t>
  </si>
  <si>
    <t xml:space="preserve">Mckees Rocks </t>
  </si>
  <si>
    <t>820 Elias Ave</t>
  </si>
  <si>
    <t xml:space="preserve"> Saint Louis</t>
  </si>
  <si>
    <t>MO</t>
  </si>
  <si>
    <t xml:space="preserve">1045-1047 12th St </t>
  </si>
  <si>
    <t>Rock Island</t>
  </si>
  <si>
    <t xml:space="preserve">IL </t>
  </si>
  <si>
    <t>1310 Pirl</t>
  </si>
  <si>
    <t>McKeesport</t>
  </si>
  <si>
    <t xml:space="preserve">PA </t>
  </si>
  <si>
    <t>1410 Meadow St</t>
  </si>
  <si>
    <t>1837 Beech St</t>
  </si>
  <si>
    <t>Mckeesport</t>
  </si>
  <si>
    <t>1932 Beech St</t>
  </si>
  <si>
    <t>1939 Hildred Ave</t>
  </si>
  <si>
    <t>Saint Louis</t>
  </si>
  <si>
    <t xml:space="preserve">MO </t>
  </si>
  <si>
    <t>2740 6th Ave</t>
  </si>
  <si>
    <t>8541 College Ave</t>
  </si>
  <si>
    <t xml:space="preserve">Saint Louis </t>
  </si>
  <si>
    <t>8918 Frankstown Rd</t>
  </si>
  <si>
    <t>9754 Lorna Ln</t>
  </si>
  <si>
    <t>1913 Evans Ave</t>
  </si>
  <si>
    <t xml:space="preserve"> PA </t>
  </si>
  <si>
    <t>Listed for Rent</t>
  </si>
  <si>
    <t>200 Stillwood</t>
  </si>
  <si>
    <t>Jackson</t>
  </si>
  <si>
    <t>MS</t>
  </si>
  <si>
    <t>Stabilized with Tenant</t>
  </si>
  <si>
    <t>523 Dornoch Dr</t>
  </si>
  <si>
    <t>St Louis</t>
  </si>
  <si>
    <t>813 SW E Ave</t>
  </si>
  <si>
    <t>Lawton</t>
  </si>
  <si>
    <t>OK</t>
  </si>
  <si>
    <t>2825 Westover Rd</t>
  </si>
  <si>
    <t>Shreveport</t>
  </si>
  <si>
    <t xml:space="preserve">3213 Central Ave </t>
  </si>
  <si>
    <t>Pittsburg</t>
  </si>
  <si>
    <t>3633 W College St</t>
  </si>
  <si>
    <t>433 Hammond St</t>
  </si>
  <si>
    <t xml:space="preserve"> Pittsburgh</t>
  </si>
  <si>
    <t>Tenant Selected</t>
  </si>
  <si>
    <t>1405 Dianne Dr</t>
  </si>
  <si>
    <t xml:space="preserve"> Jackson</t>
  </si>
  <si>
    <t>2606 Chatsworth Ct</t>
  </si>
  <si>
    <t>Macon</t>
  </si>
  <si>
    <t>GA</t>
  </si>
  <si>
    <t>2829 Comfort Street</t>
  </si>
  <si>
    <t>Total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</si>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</sst>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&quot;$&quot;#,##0_);[Red]\(&quot;$&quot;#,##0\)"/>
  </numFmts>
  <fonts count="5">
    <font>
      <sz val="10.0"/>
      <color rgb="FF000000"/>
      <name val="Arial"/>
      <scheme val="minor"/>
    </font>
    <font>
      <sz val="12.0"/>
      <color rgb="FFFFFFFF"/>
      <name val="Aptos Narrow"/>
    </font>
    <font>
      <sz val="12.0"/>
      <color theme="1"/>
      <name val="Aptos Narrow"/>
    </font>
    <font>
      <sz val="12.0"/>
      <color rgb="FFFF0000"/>
      <name val="Aptos Narrow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64" xfId="0" applyAlignment="1" applyFont="1" applyNumberFormat="1">
      <alignment vertical="bottom"/>
    </xf>
    <xf borderId="0" fillId="3" fontId="2" numFmtId="165" xfId="0" applyAlignment="1" applyFont="1" applyNumberFormat="1">
      <alignment vertical="bottom"/>
    </xf>
    <xf borderId="0" fillId="3" fontId="2" numFmtId="166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164" xfId="0" applyAlignment="1" applyFont="1" applyNumberFormat="1">
      <alignment vertical="bottom"/>
    </xf>
    <xf borderId="0" fillId="4" fontId="2" numFmtId="165" xfId="0" applyAlignment="1" applyFont="1" applyNumberFormat="1">
      <alignment vertical="bottom"/>
    </xf>
    <xf borderId="0" fillId="4" fontId="2" numFmtId="166" xfId="0" applyAlignment="1" applyFont="1" applyNumberFormat="1">
      <alignment horizontal="right" vertical="bottom"/>
    </xf>
    <xf borderId="0" fillId="4" fontId="2" numFmtId="9" xfId="0" applyAlignment="1" applyFont="1" applyNumberFormat="1">
      <alignment horizontal="right" vertical="bottom"/>
    </xf>
    <xf borderId="0" fillId="3" fontId="2" numFmtId="14" xfId="0" applyAlignment="1" applyFont="1" applyNumberFormat="1">
      <alignment horizontal="right" vertical="bottom"/>
    </xf>
    <xf borderId="0" fillId="4" fontId="3" numFmtId="166" xfId="0" applyAlignment="1" applyFont="1" applyNumberFormat="1">
      <alignment horizontal="right" vertical="bottom"/>
    </xf>
    <xf borderId="0" fillId="3" fontId="3" numFmtId="166" xfId="0" applyAlignment="1" applyFont="1" applyNumberFormat="1">
      <alignment horizontal="right" vertical="bottom"/>
    </xf>
    <xf borderId="0" fillId="4" fontId="2" numFmtId="14" xfId="0" applyAlignment="1" applyFont="1" applyNumberFormat="1">
      <alignment horizontal="right" vertical="bottom"/>
    </xf>
    <xf borderId="0" fillId="4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4" fontId="4" numFmtId="166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Deck-style">
      <tableStyleElement dxfId="1" type="headerRow"/>
      <tableStyleElement dxfId="2" type="firstRowStripe"/>
      <tableStyleElement dxfId="3" type="secondRowStripe"/>
    </tableStyle>
    <tableStyle count="2" pivot="0" name="Deck-style 2">
      <tableStyleElement dxfId="2" type="firstRowStripe"/>
      <tableStyleElement dxfId="3" type="secondRowStripe"/>
    </tableStyle>
    <tableStyle count="2" pivot="0" name="Deck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7" displayName="Table_1" name="Table_1" id="1">
  <tableColumns count="21">
    <tableColumn name="Address" id="1"/>
    <tableColumn name="City" id="2"/>
    <tableColumn name="Zip Code" id="3"/>
    <tableColumn name="State" id="4"/>
    <tableColumn name="Status" id="5"/>
    <tableColumn name="Acquisition Date" id="6"/>
    <tableColumn name="Purchase Price" id="7"/>
    <tableColumn name="Rehab Cost" id="8"/>
    <tableColumn name="Purchase Closing Cost $" id="9"/>
    <tableColumn name="Total Cost" id="10"/>
    <tableColumn name="Actual ARV" id="11"/>
    <tableColumn name="Monthly Rent" id="12"/>
    <tableColumn name="Annual Rent" id="13"/>
    <tableColumn name="Y1 NOI" id="14"/>
    <tableColumn name="Y1 Cashflow" id="15"/>
    <tableColumn name="Y1 Cash On Cash" id="16"/>
    <tableColumn name="Refi LTV" id="17"/>
    <tableColumn name="Loan Refi Amount" id="18"/>
    <tableColumn name="Refi Closing Costs" id="19"/>
    <tableColumn name="Refi Closing Costs $" id="20"/>
    <tableColumn name="Cash In Property" id="21"/>
  </tableColumns>
  <tableStyleInfo name="Deck-style" showColumnStripes="0" showFirstColumn="1" showLastColumn="1" showRowStripes="1"/>
</table>
</file>

<file path=xl/tables/table2.xml><?xml version="1.0" encoding="utf-8"?>
<table xmlns="http://schemas.openxmlformats.org/spreadsheetml/2006/main" headerRowCount="0" ref="A28:U28" displayName="Table_2" name="Table_2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eck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9:U29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eck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38"/>
    <col customWidth="1" min="3" max="3" width="13.38"/>
    <col customWidth="1" min="4" max="4" width="13.63"/>
    <col customWidth="1" min="5" max="5" width="18.13"/>
    <col customWidth="1" min="6" max="6" width="15.63"/>
    <col customWidth="1" min="7" max="7" width="14.5"/>
    <col customWidth="1" min="8" max="8" width="13.63"/>
    <col customWidth="1" min="9" max="9" width="23.0"/>
    <col customWidth="1" min="13" max="13" width="12.0"/>
    <col customWidth="1" min="16" max="16" width="17.13"/>
    <col customWidth="1" min="20" max="20" width="19.13"/>
    <col customWidth="1" min="21" max="2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4" t="s">
        <v>22</v>
      </c>
      <c r="C2" s="5">
        <v>39204.0</v>
      </c>
      <c r="D2" s="6" t="s">
        <v>23</v>
      </c>
      <c r="E2" s="7" t="s">
        <v>24</v>
      </c>
      <c r="F2" s="7"/>
      <c r="G2" s="8">
        <v>78000.0</v>
      </c>
      <c r="H2" s="8">
        <v>21000.0</v>
      </c>
      <c r="I2" s="8">
        <v>5460.0</v>
      </c>
      <c r="J2" s="8">
        <v>104460.0</v>
      </c>
      <c r="K2" s="8">
        <v>145000.0</v>
      </c>
      <c r="L2" s="8">
        <v>1450.0</v>
      </c>
      <c r="M2" s="8">
        <v>17400.0</v>
      </c>
      <c r="N2" s="8">
        <v>12108.0</v>
      </c>
      <c r="O2" s="8">
        <v>2759.0</v>
      </c>
      <c r="P2" s="9">
        <v>45.98</v>
      </c>
      <c r="Q2" s="9">
        <v>0.75</v>
      </c>
      <c r="R2" s="8">
        <v>108750.0</v>
      </c>
      <c r="S2" s="9">
        <v>0.04</v>
      </c>
      <c r="T2" s="8">
        <v>4350.0</v>
      </c>
      <c r="U2" s="8">
        <v>60.0</v>
      </c>
    </row>
    <row r="3">
      <c r="A3" s="10" t="s">
        <v>25</v>
      </c>
      <c r="B3" s="11" t="s">
        <v>26</v>
      </c>
      <c r="C3" s="12">
        <v>71109.0</v>
      </c>
      <c r="D3" s="13" t="s">
        <v>27</v>
      </c>
      <c r="E3" s="14" t="s">
        <v>24</v>
      </c>
      <c r="F3" s="14"/>
      <c r="G3" s="15">
        <v>51000.0</v>
      </c>
      <c r="H3" s="15">
        <v>25000.0</v>
      </c>
      <c r="I3" s="15">
        <v>2550.0</v>
      </c>
      <c r="J3" s="15">
        <v>78550.0</v>
      </c>
      <c r="K3" s="15">
        <v>105000.0</v>
      </c>
      <c r="L3" s="15">
        <v>1300.0</v>
      </c>
      <c r="M3" s="15">
        <v>15600.0</v>
      </c>
      <c r="N3" s="15">
        <v>10572.0</v>
      </c>
      <c r="O3" s="15">
        <v>3802.0</v>
      </c>
      <c r="P3" s="16">
        <v>1.29</v>
      </c>
      <c r="Q3" s="16">
        <v>0.75</v>
      </c>
      <c r="R3" s="15">
        <v>78750.0</v>
      </c>
      <c r="S3" s="16">
        <v>0.04</v>
      </c>
      <c r="T3" s="15">
        <v>3150.0</v>
      </c>
      <c r="U3" s="15">
        <v>2950.0</v>
      </c>
    </row>
    <row r="4">
      <c r="A4" s="3" t="s">
        <v>28</v>
      </c>
      <c r="B4" s="4" t="s">
        <v>29</v>
      </c>
      <c r="C4" s="5">
        <v>15210.0</v>
      </c>
      <c r="D4" s="6" t="s">
        <v>30</v>
      </c>
      <c r="E4" s="7" t="s">
        <v>31</v>
      </c>
      <c r="F4" s="17">
        <v>45973.0</v>
      </c>
      <c r="G4" s="8">
        <v>67500.0</v>
      </c>
      <c r="H4" s="8">
        <v>30000.0</v>
      </c>
      <c r="I4" s="8">
        <v>5073.0</v>
      </c>
      <c r="J4" s="8">
        <v>102573.0</v>
      </c>
      <c r="K4" s="8">
        <v>140000.0</v>
      </c>
      <c r="L4" s="8">
        <v>1450.0</v>
      </c>
      <c r="M4" s="8">
        <v>17400.0</v>
      </c>
      <c r="N4" s="8">
        <v>12048.0</v>
      </c>
      <c r="O4" s="8">
        <v>3367.0</v>
      </c>
      <c r="P4" s="9">
        <v>1.19</v>
      </c>
      <c r="Q4" s="9">
        <v>0.75</v>
      </c>
      <c r="R4" s="8">
        <v>105000.0</v>
      </c>
      <c r="S4" s="9">
        <v>0.05</v>
      </c>
      <c r="T4" s="8">
        <v>5250.0</v>
      </c>
      <c r="U4" s="8">
        <v>2823.0</v>
      </c>
    </row>
    <row r="5">
      <c r="A5" s="10" t="s">
        <v>32</v>
      </c>
      <c r="B5" s="11" t="s">
        <v>33</v>
      </c>
      <c r="C5" s="12">
        <v>15136.0</v>
      </c>
      <c r="D5" s="13" t="s">
        <v>30</v>
      </c>
      <c r="E5" s="14" t="s">
        <v>31</v>
      </c>
      <c r="F5" s="14"/>
      <c r="G5" s="15">
        <v>48000.0</v>
      </c>
      <c r="H5" s="15">
        <v>46000.0</v>
      </c>
      <c r="I5" s="15">
        <v>2400.0</v>
      </c>
      <c r="J5" s="15">
        <v>96400.0</v>
      </c>
      <c r="K5" s="15">
        <v>140000.0</v>
      </c>
      <c r="L5" s="15">
        <v>1450.0</v>
      </c>
      <c r="M5" s="15">
        <v>17400.0</v>
      </c>
      <c r="N5" s="15">
        <v>11547.0</v>
      </c>
      <c r="O5" s="15">
        <v>2520.0</v>
      </c>
      <c r="P5" s="16">
        <v>1.0</v>
      </c>
      <c r="Q5" s="16">
        <v>0.75</v>
      </c>
      <c r="R5" s="15">
        <v>105000.0</v>
      </c>
      <c r="S5" s="16">
        <v>0.04</v>
      </c>
      <c r="T5" s="15">
        <v>4200.0</v>
      </c>
      <c r="U5" s="18">
        <v>-4400.0</v>
      </c>
    </row>
    <row r="6">
      <c r="A6" s="3" t="s">
        <v>34</v>
      </c>
      <c r="B6" s="4" t="s">
        <v>35</v>
      </c>
      <c r="C6" s="5">
        <v>63147.0</v>
      </c>
      <c r="D6" s="6" t="s">
        <v>36</v>
      </c>
      <c r="E6" s="7" t="s">
        <v>31</v>
      </c>
      <c r="F6" s="17">
        <v>45945.0</v>
      </c>
      <c r="G6" s="8">
        <v>42500.0</v>
      </c>
      <c r="H6" s="8">
        <v>27000.0</v>
      </c>
      <c r="I6" s="8">
        <v>2125.0</v>
      </c>
      <c r="J6" s="8">
        <v>71625.0</v>
      </c>
      <c r="K6" s="8">
        <v>100000.0</v>
      </c>
      <c r="L6" s="8">
        <v>1350.0</v>
      </c>
      <c r="M6" s="8">
        <v>16200.0</v>
      </c>
      <c r="N6" s="8">
        <v>10464.0</v>
      </c>
      <c r="O6" s="8">
        <v>4355.0</v>
      </c>
      <c r="P6" s="9">
        <v>3.87</v>
      </c>
      <c r="Q6" s="9">
        <v>0.75</v>
      </c>
      <c r="R6" s="8">
        <v>75000.0</v>
      </c>
      <c r="S6" s="9">
        <v>0.06</v>
      </c>
      <c r="T6" s="8">
        <v>4500.0</v>
      </c>
      <c r="U6" s="8">
        <v>1125.0</v>
      </c>
    </row>
    <row r="7">
      <c r="A7" s="10" t="s">
        <v>37</v>
      </c>
      <c r="B7" s="11" t="s">
        <v>38</v>
      </c>
      <c r="C7" s="12">
        <v>61201.0</v>
      </c>
      <c r="D7" s="13" t="s">
        <v>39</v>
      </c>
      <c r="E7" s="14" t="s">
        <v>31</v>
      </c>
      <c r="F7" s="14"/>
      <c r="G7" s="15">
        <v>81000.0</v>
      </c>
      <c r="H7" s="15">
        <v>38000.0</v>
      </c>
      <c r="I7" s="15">
        <v>5670.0</v>
      </c>
      <c r="J7" s="15">
        <v>124670.0</v>
      </c>
      <c r="K7" s="15">
        <v>175000.0</v>
      </c>
      <c r="L7" s="15">
        <v>2100.0</v>
      </c>
      <c r="M7" s="15">
        <v>25200.0</v>
      </c>
      <c r="N7" s="15">
        <v>15384.0</v>
      </c>
      <c r="O7" s="15">
        <v>4101.0</v>
      </c>
      <c r="P7" s="16">
        <v>1.0</v>
      </c>
      <c r="Q7" s="16">
        <v>0.75</v>
      </c>
      <c r="R7" s="15">
        <v>131250.0</v>
      </c>
      <c r="S7" s="16">
        <v>0.04</v>
      </c>
      <c r="T7" s="15">
        <v>5250.0</v>
      </c>
      <c r="U7" s="18">
        <v>-1330.0</v>
      </c>
    </row>
    <row r="8">
      <c r="A8" s="3" t="s">
        <v>40</v>
      </c>
      <c r="B8" s="4" t="s">
        <v>41</v>
      </c>
      <c r="C8" s="5">
        <v>15132.0</v>
      </c>
      <c r="D8" s="6" t="s">
        <v>42</v>
      </c>
      <c r="E8" s="7" t="s">
        <v>31</v>
      </c>
      <c r="F8" s="7"/>
      <c r="G8" s="8">
        <v>62500.0</v>
      </c>
      <c r="H8" s="8">
        <v>22000.0</v>
      </c>
      <c r="I8" s="8">
        <v>3125.0</v>
      </c>
      <c r="J8" s="8">
        <v>87625.0</v>
      </c>
      <c r="K8" s="8">
        <v>125000.0</v>
      </c>
      <c r="L8" s="8">
        <v>1250.0</v>
      </c>
      <c r="M8" s="8">
        <v>15000.0</v>
      </c>
      <c r="N8" s="8">
        <v>10368.0</v>
      </c>
      <c r="O8" s="8">
        <v>2308.0</v>
      </c>
      <c r="P8" s="9">
        <v>1.0</v>
      </c>
      <c r="Q8" s="9">
        <v>0.75</v>
      </c>
      <c r="R8" s="8">
        <v>93750.0</v>
      </c>
      <c r="S8" s="9">
        <v>0.04</v>
      </c>
      <c r="T8" s="8">
        <v>3750.0</v>
      </c>
      <c r="U8" s="19">
        <v>-2375.0</v>
      </c>
    </row>
    <row r="9">
      <c r="A9" s="10" t="s">
        <v>43</v>
      </c>
      <c r="B9" s="11" t="s">
        <v>41</v>
      </c>
      <c r="C9" s="12">
        <v>15132.0</v>
      </c>
      <c r="D9" s="13" t="s">
        <v>30</v>
      </c>
      <c r="E9" s="14" t="s">
        <v>31</v>
      </c>
      <c r="F9" s="20">
        <v>45973.0</v>
      </c>
      <c r="G9" s="15">
        <v>67000.0</v>
      </c>
      <c r="H9" s="15">
        <v>21000.0</v>
      </c>
      <c r="I9" s="15">
        <v>4781.0</v>
      </c>
      <c r="J9" s="15">
        <v>92781.0</v>
      </c>
      <c r="K9" s="15">
        <v>130000.0</v>
      </c>
      <c r="L9" s="15">
        <v>1300.0</v>
      </c>
      <c r="M9" s="15">
        <v>15600.0</v>
      </c>
      <c r="N9" s="15">
        <v>11148.0</v>
      </c>
      <c r="O9" s="15">
        <v>2766.0</v>
      </c>
      <c r="P9" s="16">
        <v>1.0</v>
      </c>
      <c r="Q9" s="16">
        <v>0.75</v>
      </c>
      <c r="R9" s="15">
        <v>97500.0</v>
      </c>
      <c r="S9" s="16">
        <v>0.04</v>
      </c>
      <c r="T9" s="15">
        <v>3900.0</v>
      </c>
      <c r="U9" s="18">
        <v>-819.0</v>
      </c>
    </row>
    <row r="10">
      <c r="A10" s="3" t="s">
        <v>44</v>
      </c>
      <c r="B10" s="4" t="s">
        <v>45</v>
      </c>
      <c r="C10" s="5">
        <v>15132.0</v>
      </c>
      <c r="D10" s="6" t="s">
        <v>30</v>
      </c>
      <c r="E10" s="7" t="s">
        <v>31</v>
      </c>
      <c r="F10" s="7"/>
      <c r="G10" s="8">
        <v>62000.0</v>
      </c>
      <c r="H10" s="8">
        <v>17000.0</v>
      </c>
      <c r="I10" s="8">
        <v>3100.0</v>
      </c>
      <c r="J10" s="8">
        <v>82100.0</v>
      </c>
      <c r="K10" s="8">
        <v>130000.0</v>
      </c>
      <c r="L10" s="8">
        <v>1200.0</v>
      </c>
      <c r="M10" s="8">
        <v>14400.0</v>
      </c>
      <c r="N10" s="8">
        <v>9612.0</v>
      </c>
      <c r="O10" s="8">
        <v>1670.0</v>
      </c>
      <c r="P10" s="9">
        <v>1.0</v>
      </c>
      <c r="Q10" s="9">
        <v>0.75</v>
      </c>
      <c r="R10" s="8">
        <v>97500.0</v>
      </c>
      <c r="S10" s="9">
        <v>0.05</v>
      </c>
      <c r="T10" s="8">
        <v>4875.0</v>
      </c>
      <c r="U10" s="19">
        <v>-10525.0</v>
      </c>
    </row>
    <row r="11">
      <c r="A11" s="10" t="s">
        <v>46</v>
      </c>
      <c r="B11" s="11" t="s">
        <v>45</v>
      </c>
      <c r="C11" s="12">
        <v>15132.0</v>
      </c>
      <c r="D11" s="13" t="s">
        <v>30</v>
      </c>
      <c r="E11" s="14" t="s">
        <v>31</v>
      </c>
      <c r="F11" s="20">
        <v>45981.0</v>
      </c>
      <c r="G11" s="15">
        <v>45000.0</v>
      </c>
      <c r="H11" s="15">
        <v>35000.0</v>
      </c>
      <c r="I11" s="15">
        <v>3417.0</v>
      </c>
      <c r="J11" s="15">
        <v>83417.0</v>
      </c>
      <c r="K11" s="15">
        <v>125000.0</v>
      </c>
      <c r="L11" s="15">
        <v>1200.0</v>
      </c>
      <c r="M11" s="15">
        <v>14400.0</v>
      </c>
      <c r="N11" s="15">
        <v>9588.0</v>
      </c>
      <c r="O11" s="15">
        <v>1528.0</v>
      </c>
      <c r="P11" s="16">
        <v>1.0</v>
      </c>
      <c r="Q11" s="16">
        <v>0.75</v>
      </c>
      <c r="R11" s="15">
        <v>93750.0</v>
      </c>
      <c r="S11" s="16">
        <v>0.05</v>
      </c>
      <c r="T11" s="15">
        <v>4688.0</v>
      </c>
      <c r="U11" s="18">
        <v>-5645.0</v>
      </c>
    </row>
    <row r="12">
      <c r="A12" s="3" t="s">
        <v>47</v>
      </c>
      <c r="B12" s="4" t="s">
        <v>48</v>
      </c>
      <c r="C12" s="5">
        <v>63136.0</v>
      </c>
      <c r="D12" s="6" t="s">
        <v>49</v>
      </c>
      <c r="E12" s="7" t="s">
        <v>31</v>
      </c>
      <c r="F12" s="7"/>
      <c r="G12" s="8">
        <v>50000.0</v>
      </c>
      <c r="H12" s="8">
        <v>42000.0</v>
      </c>
      <c r="I12" s="8">
        <v>2500.0</v>
      </c>
      <c r="J12" s="8">
        <v>94500.0</v>
      </c>
      <c r="K12" s="8">
        <v>140000.0</v>
      </c>
      <c r="L12" s="8">
        <v>1350.0</v>
      </c>
      <c r="M12" s="8">
        <v>16200.0</v>
      </c>
      <c r="N12" s="8">
        <v>10944.0</v>
      </c>
      <c r="O12" s="8">
        <v>2391.0</v>
      </c>
      <c r="P12" s="9">
        <v>1.0</v>
      </c>
      <c r="Q12" s="9">
        <v>0.75</v>
      </c>
      <c r="R12" s="8">
        <v>105000.0</v>
      </c>
      <c r="S12" s="9">
        <v>0.04</v>
      </c>
      <c r="T12" s="8">
        <v>4200.0</v>
      </c>
      <c r="U12" s="19">
        <v>-6300.0</v>
      </c>
    </row>
    <row r="13">
      <c r="A13" s="10" t="s">
        <v>50</v>
      </c>
      <c r="B13" s="11" t="s">
        <v>38</v>
      </c>
      <c r="C13" s="12">
        <v>61201.0</v>
      </c>
      <c r="D13" s="13" t="s">
        <v>39</v>
      </c>
      <c r="E13" s="14" t="s">
        <v>31</v>
      </c>
      <c r="F13" s="20">
        <v>45917.0</v>
      </c>
      <c r="G13" s="15">
        <v>62000.0</v>
      </c>
      <c r="H13" s="15">
        <v>25000.0</v>
      </c>
      <c r="I13" s="15">
        <v>2480.0</v>
      </c>
      <c r="J13" s="15">
        <v>89480.0</v>
      </c>
      <c r="K13" s="15">
        <v>130000.0</v>
      </c>
      <c r="L13" s="15">
        <v>1350.0</v>
      </c>
      <c r="M13" s="15">
        <v>16200.0</v>
      </c>
      <c r="N13" s="15">
        <v>10596.0</v>
      </c>
      <c r="O13" s="15">
        <v>2092.0</v>
      </c>
      <c r="P13" s="16">
        <v>1.0</v>
      </c>
      <c r="Q13" s="16">
        <v>0.75</v>
      </c>
      <c r="R13" s="15">
        <v>97500.0</v>
      </c>
      <c r="S13" s="16">
        <v>0.06</v>
      </c>
      <c r="T13" s="15">
        <v>5850.0</v>
      </c>
      <c r="U13" s="18">
        <v>-2170.0</v>
      </c>
    </row>
    <row r="14">
      <c r="A14" s="3" t="s">
        <v>51</v>
      </c>
      <c r="B14" s="4" t="s">
        <v>52</v>
      </c>
      <c r="C14" s="5">
        <v>63136.0</v>
      </c>
      <c r="D14" s="6" t="s">
        <v>36</v>
      </c>
      <c r="E14" s="7" t="s">
        <v>31</v>
      </c>
      <c r="F14" s="17">
        <v>45897.0</v>
      </c>
      <c r="G14" s="8">
        <v>52000.0</v>
      </c>
      <c r="H14" s="8">
        <v>27000.0</v>
      </c>
      <c r="I14" s="8">
        <v>2080.0</v>
      </c>
      <c r="J14" s="8">
        <v>81080.0</v>
      </c>
      <c r="K14" s="8">
        <v>120000.0</v>
      </c>
      <c r="L14" s="8">
        <v>1350.0</v>
      </c>
      <c r="M14" s="8">
        <v>16200.0</v>
      </c>
      <c r="N14" s="8">
        <v>10152.0</v>
      </c>
      <c r="O14" s="8">
        <v>2415.0</v>
      </c>
      <c r="P14" s="9">
        <v>1.0</v>
      </c>
      <c r="Q14" s="9">
        <v>0.75</v>
      </c>
      <c r="R14" s="8">
        <v>90000.0</v>
      </c>
      <c r="S14" s="9">
        <v>0.06</v>
      </c>
      <c r="T14" s="8">
        <v>5400.0</v>
      </c>
      <c r="U14" s="19">
        <v>-3520.0</v>
      </c>
    </row>
    <row r="15">
      <c r="A15" s="11" t="s">
        <v>53</v>
      </c>
      <c r="B15" s="10" t="s">
        <v>29</v>
      </c>
      <c r="C15" s="21">
        <v>15235.0</v>
      </c>
      <c r="D15" s="10" t="s">
        <v>30</v>
      </c>
      <c r="E15" s="10" t="s">
        <v>31</v>
      </c>
      <c r="F15" s="10"/>
      <c r="G15" s="15">
        <v>50000.0</v>
      </c>
      <c r="H15" s="15">
        <v>64000.0</v>
      </c>
      <c r="I15" s="15">
        <v>2500.0</v>
      </c>
      <c r="J15" s="15">
        <v>116500.0</v>
      </c>
      <c r="K15" s="15">
        <v>165000.0</v>
      </c>
      <c r="L15" s="15">
        <v>1950.0</v>
      </c>
      <c r="M15" s="15">
        <v>23400.0</v>
      </c>
      <c r="N15" s="15">
        <v>17556.0</v>
      </c>
      <c r="O15" s="15">
        <v>7274.0</v>
      </c>
      <c r="P15" s="16">
        <v>1.0</v>
      </c>
      <c r="Q15" s="16">
        <v>0.75</v>
      </c>
      <c r="R15" s="15">
        <v>123750.0</v>
      </c>
      <c r="S15" s="16">
        <v>0.05</v>
      </c>
      <c r="T15" s="15">
        <v>6188.0</v>
      </c>
      <c r="U15" s="18">
        <v>-1063.0</v>
      </c>
    </row>
    <row r="16">
      <c r="A16" s="3" t="s">
        <v>54</v>
      </c>
      <c r="B16" s="3" t="s">
        <v>48</v>
      </c>
      <c r="C16" s="22">
        <v>63136.0</v>
      </c>
      <c r="D16" s="3" t="s">
        <v>36</v>
      </c>
      <c r="E16" s="3" t="s">
        <v>31</v>
      </c>
      <c r="F16" s="3"/>
      <c r="G16" s="8">
        <v>61000.0</v>
      </c>
      <c r="H16" s="8">
        <v>32000.0</v>
      </c>
      <c r="I16" s="8">
        <v>3050.0</v>
      </c>
      <c r="J16" s="8">
        <v>96050.0</v>
      </c>
      <c r="K16" s="8">
        <v>140000.0</v>
      </c>
      <c r="L16" s="8">
        <v>1600.0</v>
      </c>
      <c r="M16" s="8">
        <v>19200.0</v>
      </c>
      <c r="N16" s="8">
        <v>11532.0</v>
      </c>
      <c r="O16" s="8">
        <v>2722.0</v>
      </c>
      <c r="P16" s="9">
        <v>1.0</v>
      </c>
      <c r="Q16" s="9">
        <v>0.75</v>
      </c>
      <c r="R16" s="8">
        <v>105000.0</v>
      </c>
      <c r="S16" s="9">
        <v>0.06</v>
      </c>
      <c r="T16" s="8">
        <v>6300.0</v>
      </c>
      <c r="U16" s="19">
        <v>-2650.0</v>
      </c>
    </row>
    <row r="17">
      <c r="A17" s="10" t="s">
        <v>55</v>
      </c>
      <c r="B17" s="10" t="s">
        <v>41</v>
      </c>
      <c r="C17" s="21">
        <v>15132.0</v>
      </c>
      <c r="D17" s="10" t="s">
        <v>56</v>
      </c>
      <c r="E17" s="10" t="s">
        <v>57</v>
      </c>
      <c r="F17" s="20">
        <v>45973.0</v>
      </c>
      <c r="G17" s="15">
        <v>62000.0</v>
      </c>
      <c r="H17" s="15">
        <v>25000.0</v>
      </c>
      <c r="I17" s="15">
        <v>3100.0</v>
      </c>
      <c r="J17" s="15">
        <v>90100.0</v>
      </c>
      <c r="K17" s="15">
        <v>125000.0</v>
      </c>
      <c r="L17" s="15">
        <v>1200.0</v>
      </c>
      <c r="M17" s="15">
        <v>14400.0</v>
      </c>
      <c r="N17" s="15">
        <v>9948.0</v>
      </c>
      <c r="O17" s="15">
        <v>2235.0</v>
      </c>
      <c r="P17" s="16">
        <v>22.35</v>
      </c>
      <c r="Q17" s="16">
        <v>0.75</v>
      </c>
      <c r="R17" s="15">
        <v>93750.0</v>
      </c>
      <c r="S17" s="16">
        <v>0.04</v>
      </c>
      <c r="T17" s="15">
        <v>3750.0</v>
      </c>
      <c r="U17" s="15">
        <v>100.0</v>
      </c>
    </row>
    <row r="18">
      <c r="A18" s="3" t="s">
        <v>58</v>
      </c>
      <c r="B18" s="3" t="s">
        <v>59</v>
      </c>
      <c r="C18" s="22">
        <v>39206.0</v>
      </c>
      <c r="D18" s="3" t="s">
        <v>60</v>
      </c>
      <c r="E18" s="3" t="s">
        <v>61</v>
      </c>
      <c r="F18" s="17">
        <v>45765.0</v>
      </c>
      <c r="G18" s="8">
        <v>50000.0</v>
      </c>
      <c r="H18" s="8">
        <v>20000.0</v>
      </c>
      <c r="I18" s="8">
        <v>2000.0</v>
      </c>
      <c r="J18" s="8">
        <v>72000.0</v>
      </c>
      <c r="K18" s="8">
        <v>100000.0</v>
      </c>
      <c r="L18" s="8">
        <v>1300.0</v>
      </c>
      <c r="M18" s="8">
        <v>15600.0</v>
      </c>
      <c r="N18" s="8">
        <v>10584.0</v>
      </c>
      <c r="O18" s="8">
        <v>4043.0</v>
      </c>
      <c r="P18" s="9">
        <v>2.7</v>
      </c>
      <c r="Q18" s="9">
        <v>0.75</v>
      </c>
      <c r="R18" s="8">
        <v>75000.0</v>
      </c>
      <c r="S18" s="9">
        <v>0.06</v>
      </c>
      <c r="T18" s="8">
        <v>4500.0</v>
      </c>
      <c r="U18" s="8">
        <v>1500.0</v>
      </c>
    </row>
    <row r="19">
      <c r="A19" s="10" t="s">
        <v>62</v>
      </c>
      <c r="B19" s="10" t="s">
        <v>63</v>
      </c>
      <c r="C19" s="21">
        <v>63137.0</v>
      </c>
      <c r="D19" s="10" t="s">
        <v>36</v>
      </c>
      <c r="E19" s="10" t="s">
        <v>61</v>
      </c>
      <c r="F19" s="20">
        <v>45798.0</v>
      </c>
      <c r="G19" s="15">
        <v>70000.0</v>
      </c>
      <c r="H19" s="15">
        <v>20000.0</v>
      </c>
      <c r="I19" s="15">
        <v>2800.0</v>
      </c>
      <c r="J19" s="15">
        <v>92800.0</v>
      </c>
      <c r="K19" s="15">
        <v>101000.0</v>
      </c>
      <c r="L19" s="15">
        <v>1500.0</v>
      </c>
      <c r="M19" s="15">
        <v>18000.0</v>
      </c>
      <c r="N19" s="15">
        <v>11712.0</v>
      </c>
      <c r="O19" s="15">
        <v>5130.0</v>
      </c>
      <c r="P19" s="16">
        <v>0.3</v>
      </c>
      <c r="Q19" s="16">
        <v>0.8</v>
      </c>
      <c r="R19" s="15">
        <v>80800.0</v>
      </c>
      <c r="S19" s="16">
        <v>0.06</v>
      </c>
      <c r="T19" s="15">
        <v>4848.0</v>
      </c>
      <c r="U19" s="15">
        <v>16848.0</v>
      </c>
    </row>
    <row r="20">
      <c r="A20" s="3" t="s">
        <v>64</v>
      </c>
      <c r="B20" s="3" t="s">
        <v>65</v>
      </c>
      <c r="C20" s="22">
        <v>73501.0</v>
      </c>
      <c r="D20" s="3" t="s">
        <v>66</v>
      </c>
      <c r="E20" s="3" t="s">
        <v>61</v>
      </c>
      <c r="F20" s="17">
        <v>45785.0</v>
      </c>
      <c r="G20" s="8">
        <v>69500.0</v>
      </c>
      <c r="H20" s="8">
        <v>32000.0</v>
      </c>
      <c r="I20" s="8">
        <v>2780.0</v>
      </c>
      <c r="J20" s="8">
        <v>104280.0</v>
      </c>
      <c r="K20" s="8">
        <v>156000.0</v>
      </c>
      <c r="L20" s="8">
        <v>1500.0</v>
      </c>
      <c r="M20" s="8">
        <v>18000.0</v>
      </c>
      <c r="N20" s="8">
        <v>12408.0</v>
      </c>
      <c r="O20" s="8">
        <v>2878.0</v>
      </c>
      <c r="P20" s="9">
        <v>1.0</v>
      </c>
      <c r="Q20" s="9">
        <v>0.75</v>
      </c>
      <c r="R20" s="8">
        <v>117000.0</v>
      </c>
      <c r="S20" s="9">
        <v>0.06</v>
      </c>
      <c r="T20" s="8">
        <v>7020.0</v>
      </c>
      <c r="U20" s="19">
        <v>-5700.0</v>
      </c>
    </row>
    <row r="21">
      <c r="A21" s="10" t="s">
        <v>67</v>
      </c>
      <c r="B21" s="10" t="s">
        <v>68</v>
      </c>
      <c r="C21" s="21">
        <v>71108.0</v>
      </c>
      <c r="D21" s="10" t="s">
        <v>27</v>
      </c>
      <c r="E21" s="10" t="s">
        <v>61</v>
      </c>
      <c r="F21" s="20">
        <v>45735.0</v>
      </c>
      <c r="G21" s="15">
        <v>74000.0</v>
      </c>
      <c r="H21" s="15">
        <v>12500.0</v>
      </c>
      <c r="I21" s="15">
        <v>2960.0</v>
      </c>
      <c r="J21" s="15">
        <v>89460.0</v>
      </c>
      <c r="K21" s="15">
        <v>125000.0</v>
      </c>
      <c r="L21" s="15">
        <v>1350.0</v>
      </c>
      <c r="M21" s="15">
        <v>16200.0</v>
      </c>
      <c r="N21" s="15">
        <v>10644.0</v>
      </c>
      <c r="O21" s="15">
        <v>2291.0</v>
      </c>
      <c r="P21" s="16">
        <v>1.08</v>
      </c>
      <c r="Q21" s="16">
        <v>0.75</v>
      </c>
      <c r="R21" s="15">
        <v>93750.0</v>
      </c>
      <c r="S21" s="16">
        <v>0.07</v>
      </c>
      <c r="T21" s="15">
        <v>6403.0</v>
      </c>
      <c r="U21" s="15">
        <v>2113.0</v>
      </c>
    </row>
    <row r="22">
      <c r="A22" s="3" t="s">
        <v>69</v>
      </c>
      <c r="B22" s="3" t="s">
        <v>70</v>
      </c>
      <c r="C22" s="22">
        <v>15212.0</v>
      </c>
      <c r="D22" s="3" t="s">
        <v>30</v>
      </c>
      <c r="E22" s="3" t="s">
        <v>61</v>
      </c>
      <c r="F22" s="17">
        <v>45793.0</v>
      </c>
      <c r="G22" s="8">
        <v>89500.0</v>
      </c>
      <c r="H22" s="8">
        <v>17000.0</v>
      </c>
      <c r="I22" s="8">
        <v>3580.0</v>
      </c>
      <c r="J22" s="8">
        <v>110080.0</v>
      </c>
      <c r="K22" s="8">
        <v>150000.0</v>
      </c>
      <c r="L22" s="8">
        <v>1500.0</v>
      </c>
      <c r="M22" s="8">
        <v>18000.0</v>
      </c>
      <c r="N22" s="8">
        <v>13093.0</v>
      </c>
      <c r="O22" s="8">
        <v>3197.0</v>
      </c>
      <c r="P22" s="9">
        <v>0.49</v>
      </c>
      <c r="Q22" s="9">
        <v>0.75</v>
      </c>
      <c r="R22" s="8">
        <v>112500.0</v>
      </c>
      <c r="S22" s="9">
        <v>0.08</v>
      </c>
      <c r="T22" s="8">
        <v>8974.0</v>
      </c>
      <c r="U22" s="8">
        <v>6554.0</v>
      </c>
    </row>
    <row r="23">
      <c r="A23" s="10" t="s">
        <v>71</v>
      </c>
      <c r="B23" s="10" t="s">
        <v>26</v>
      </c>
      <c r="C23" s="21">
        <v>71109.0</v>
      </c>
      <c r="D23" s="10" t="s">
        <v>27</v>
      </c>
      <c r="E23" s="10" t="s">
        <v>61</v>
      </c>
      <c r="F23" s="20">
        <v>45740.0</v>
      </c>
      <c r="G23" s="23">
        <v>47000.0</v>
      </c>
      <c r="H23" s="15">
        <v>25000.0</v>
      </c>
      <c r="I23" s="15">
        <v>1880.0</v>
      </c>
      <c r="J23" s="15">
        <v>73880.0</v>
      </c>
      <c r="K23" s="15">
        <v>111000.0</v>
      </c>
      <c r="L23" s="15">
        <v>1225.0</v>
      </c>
      <c r="M23" s="15">
        <v>14700.0</v>
      </c>
      <c r="N23" s="15">
        <v>9846.0</v>
      </c>
      <c r="O23" s="15">
        <v>2978.0</v>
      </c>
      <c r="P23" s="16">
        <v>4.37</v>
      </c>
      <c r="Q23" s="16">
        <v>0.7</v>
      </c>
      <c r="R23" s="15">
        <v>78000.0</v>
      </c>
      <c r="S23" s="16">
        <v>0.06</v>
      </c>
      <c r="T23" s="15">
        <v>4801.0</v>
      </c>
      <c r="U23" s="15">
        <v>681.0</v>
      </c>
    </row>
    <row r="24">
      <c r="A24" s="3" t="s">
        <v>72</v>
      </c>
      <c r="B24" s="3" t="s">
        <v>73</v>
      </c>
      <c r="C24" s="22">
        <v>15204.0</v>
      </c>
      <c r="D24" s="3" t="s">
        <v>30</v>
      </c>
      <c r="E24" s="3" t="s">
        <v>74</v>
      </c>
      <c r="F24" s="17">
        <v>45870.0</v>
      </c>
      <c r="G24" s="8">
        <v>73000.0</v>
      </c>
      <c r="H24" s="8">
        <v>29636.0</v>
      </c>
      <c r="I24" s="8">
        <v>2920.0</v>
      </c>
      <c r="J24" s="8">
        <v>105556.0</v>
      </c>
      <c r="K24" s="8">
        <v>160000.0</v>
      </c>
      <c r="L24" s="8">
        <v>1607.0</v>
      </c>
      <c r="M24" s="8">
        <v>19284.0</v>
      </c>
      <c r="N24" s="8">
        <v>13835.0</v>
      </c>
      <c r="O24" s="8">
        <v>3369.0</v>
      </c>
      <c r="P24" s="9">
        <v>1.0</v>
      </c>
      <c r="Q24" s="9">
        <v>0.75</v>
      </c>
      <c r="R24" s="8">
        <v>120000.0</v>
      </c>
      <c r="S24" s="9">
        <v>0.06</v>
      </c>
      <c r="T24" s="8">
        <v>7200.0</v>
      </c>
      <c r="U24" s="19">
        <v>-7244.0</v>
      </c>
    </row>
    <row r="25">
      <c r="A25" s="10" t="s">
        <v>75</v>
      </c>
      <c r="B25" s="10" t="s">
        <v>76</v>
      </c>
      <c r="C25" s="21">
        <v>39204.0</v>
      </c>
      <c r="D25" s="10" t="s">
        <v>23</v>
      </c>
      <c r="E25" s="10" t="s">
        <v>74</v>
      </c>
      <c r="F25" s="20">
        <v>45848.0</v>
      </c>
      <c r="G25" s="15">
        <v>65000.0</v>
      </c>
      <c r="H25" s="15">
        <v>18000.0</v>
      </c>
      <c r="I25" s="15">
        <v>2600.0</v>
      </c>
      <c r="J25" s="15">
        <v>85600.0</v>
      </c>
      <c r="K25" s="15">
        <v>125000.0</v>
      </c>
      <c r="L25" s="15">
        <v>1200.0</v>
      </c>
      <c r="M25" s="15">
        <v>14400.0</v>
      </c>
      <c r="N25" s="15">
        <v>9468.0</v>
      </c>
      <c r="O25" s="15">
        <v>1832.0</v>
      </c>
      <c r="P25" s="16">
        <v>1.0</v>
      </c>
      <c r="Q25" s="16">
        <v>0.75</v>
      </c>
      <c r="R25" s="15">
        <v>93750.0</v>
      </c>
      <c r="S25" s="16">
        <v>0.06</v>
      </c>
      <c r="T25" s="15">
        <v>5625.0</v>
      </c>
      <c r="U25" s="18">
        <v>-2525.0</v>
      </c>
    </row>
    <row r="26">
      <c r="A26" s="24" t="s">
        <v>77</v>
      </c>
      <c r="B26" s="3" t="s">
        <v>78</v>
      </c>
      <c r="C26" s="22">
        <v>31206.0</v>
      </c>
      <c r="D26" s="3" t="s">
        <v>79</v>
      </c>
      <c r="E26" s="3" t="s">
        <v>74</v>
      </c>
      <c r="F26" s="17">
        <v>45764.0</v>
      </c>
      <c r="G26" s="8">
        <v>67000.0</v>
      </c>
      <c r="H26" s="8">
        <v>25000.0</v>
      </c>
      <c r="I26" s="8">
        <v>2680.0</v>
      </c>
      <c r="J26" s="8">
        <v>94680.0</v>
      </c>
      <c r="K26" s="8">
        <v>165000.0</v>
      </c>
      <c r="L26" s="8">
        <v>1500.0</v>
      </c>
      <c r="M26" s="8">
        <v>18000.0</v>
      </c>
      <c r="N26" s="8">
        <v>12120.0</v>
      </c>
      <c r="O26" s="8">
        <v>1737.0</v>
      </c>
      <c r="P26" s="9">
        <v>1.0</v>
      </c>
      <c r="Q26" s="9">
        <v>0.75</v>
      </c>
      <c r="R26" s="8">
        <v>123750.0</v>
      </c>
      <c r="S26" s="9">
        <v>0.06</v>
      </c>
      <c r="T26" s="8">
        <v>7425.0</v>
      </c>
      <c r="U26" s="19">
        <v>-21645.0</v>
      </c>
    </row>
    <row r="27">
      <c r="A27" s="10" t="s">
        <v>80</v>
      </c>
      <c r="B27" s="10" t="s">
        <v>59</v>
      </c>
      <c r="C27" s="21">
        <v>39213.0</v>
      </c>
      <c r="D27" s="10" t="s">
        <v>60</v>
      </c>
      <c r="E27" s="10" t="s">
        <v>74</v>
      </c>
      <c r="F27" s="20">
        <v>45735.0</v>
      </c>
      <c r="G27" s="15">
        <v>64000.0</v>
      </c>
      <c r="H27" s="15">
        <v>2200.0</v>
      </c>
      <c r="I27" s="15">
        <v>2560.0</v>
      </c>
      <c r="J27" s="15">
        <v>68760.0</v>
      </c>
      <c r="K27" s="15">
        <v>80000.0</v>
      </c>
      <c r="L27" s="15">
        <v>1100.0</v>
      </c>
      <c r="M27" s="15">
        <v>13200.0</v>
      </c>
      <c r="N27" s="15">
        <v>8184.0</v>
      </c>
      <c r="O27" s="15">
        <v>2711.0</v>
      </c>
      <c r="P27" s="16">
        <v>0.2</v>
      </c>
      <c r="Q27" s="16">
        <v>0.75</v>
      </c>
      <c r="R27" s="15">
        <v>60000.0</v>
      </c>
      <c r="S27" s="16">
        <v>0.08</v>
      </c>
      <c r="T27" s="15">
        <v>5039.0</v>
      </c>
      <c r="U27" s="15">
        <v>13799.0</v>
      </c>
    </row>
    <row r="28">
      <c r="A28" s="24" t="s">
        <v>81</v>
      </c>
      <c r="B28" s="3"/>
      <c r="C28" s="22"/>
      <c r="D28" s="3"/>
      <c r="E28" s="3"/>
      <c r="F28" s="17"/>
      <c r="G28" s="8">
        <f t="shared" ref="G28:O28" si="1">SUM(G2:G27)</f>
        <v>1610500</v>
      </c>
      <c r="H28" s="8">
        <f t="shared" si="1"/>
        <v>698336</v>
      </c>
      <c r="I28" s="8">
        <f t="shared" si="1"/>
        <v>80171</v>
      </c>
      <c r="J28" s="8">
        <f t="shared" si="1"/>
        <v>2389007</v>
      </c>
      <c r="K28" s="8">
        <f t="shared" si="1"/>
        <v>3408000</v>
      </c>
      <c r="L28" s="8">
        <f t="shared" si="1"/>
        <v>36632</v>
      </c>
      <c r="M28" s="8">
        <f t="shared" si="1"/>
        <v>439584</v>
      </c>
      <c r="N28" s="8">
        <f t="shared" si="1"/>
        <v>295461</v>
      </c>
      <c r="O28" s="8">
        <f t="shared" si="1"/>
        <v>78471</v>
      </c>
      <c r="P28" s="9"/>
      <c r="Q28" s="9"/>
      <c r="R28" s="8">
        <f>SUM(R2:R27)</f>
        <v>2555800</v>
      </c>
      <c r="S28" s="9"/>
      <c r="T28" s="8">
        <f t="shared" ref="T28:U28" si="2">SUM(T2:T27)</f>
        <v>137436</v>
      </c>
      <c r="U28" s="8">
        <f t="shared" si="2"/>
        <v>-29358</v>
      </c>
    </row>
    <row r="29">
      <c r="A29" s="25" t="s">
        <v>82</v>
      </c>
      <c r="B29" s="10"/>
      <c r="C29" s="21"/>
      <c r="D29" s="10"/>
      <c r="E29" s="10"/>
      <c r="F29" s="20"/>
      <c r="G29" s="15">
        <f t="shared" ref="G29:U29" si="3">AVERAGE(G2:G27)</f>
        <v>61942.30769</v>
      </c>
      <c r="H29" s="15">
        <f t="shared" si="3"/>
        <v>26859.07692</v>
      </c>
      <c r="I29" s="15">
        <f t="shared" si="3"/>
        <v>3083.5</v>
      </c>
      <c r="J29" s="15">
        <f t="shared" si="3"/>
        <v>91884.88462</v>
      </c>
      <c r="K29" s="15">
        <f t="shared" si="3"/>
        <v>131076.9231</v>
      </c>
      <c r="L29" s="15">
        <f t="shared" si="3"/>
        <v>1408.923077</v>
      </c>
      <c r="M29" s="15">
        <f t="shared" si="3"/>
        <v>16907.07692</v>
      </c>
      <c r="N29" s="15">
        <f t="shared" si="3"/>
        <v>11363.88462</v>
      </c>
      <c r="O29" s="15">
        <f t="shared" si="3"/>
        <v>3018.115385</v>
      </c>
      <c r="P29" s="26">
        <f t="shared" si="3"/>
        <v>3.800769231</v>
      </c>
      <c r="Q29" s="26">
        <f t="shared" si="3"/>
        <v>0.75</v>
      </c>
      <c r="R29" s="15">
        <f t="shared" si="3"/>
        <v>98300</v>
      </c>
      <c r="S29" s="26">
        <f t="shared" si="3"/>
        <v>0.05423076923</v>
      </c>
      <c r="T29" s="15">
        <f t="shared" si="3"/>
        <v>5286</v>
      </c>
      <c r="U29" s="15">
        <f t="shared" si="3"/>
        <v>-1129.153846</v>
      </c>
    </row>
  </sheetData>
  <drawing r:id="rId1"/>
  <tableParts count="3">
    <tablePart r:id="rId5"/>
    <tablePart r:id="rId6"/>
    <tablePart r:id="rId7"/>
  </tableParts>
</worksheet>
</file>